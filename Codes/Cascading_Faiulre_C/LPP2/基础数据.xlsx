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Zhangxu\Desktop\"/>
    </mc:Choice>
  </mc:AlternateContent>
  <xr:revisionPtr revIDLastSave="0" documentId="13_ncr:1_{E14D0A40-FB90-430F-8F5F-739C49067D31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项目投资额度" sheetId="1" r:id="rId1"/>
    <sheet name="能力权重" sheetId="2" r:id="rId2"/>
    <sheet name="与合作者间关系" sheetId="3" r:id="rId3"/>
    <sheet name="项目所需要的最小支撑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" i="2" l="1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A2" i="2"/>
  <c r="U1" i="2"/>
  <c r="A2" i="1"/>
  <c r="B2" i="1"/>
  <c r="C2" i="1"/>
  <c r="D2" i="1"/>
  <c r="E2" i="1"/>
  <c r="F2" i="1"/>
  <c r="G2" i="1"/>
  <c r="H2" i="1"/>
  <c r="I2" i="1"/>
  <c r="J2" i="1"/>
  <c r="A3" i="1"/>
  <c r="B3" i="1"/>
  <c r="C3" i="1"/>
  <c r="D3" i="1"/>
  <c r="E3" i="1"/>
  <c r="F3" i="1"/>
  <c r="G3" i="1"/>
  <c r="H3" i="1"/>
  <c r="I3" i="1"/>
  <c r="J3" i="1"/>
  <c r="A4" i="1"/>
  <c r="B4" i="1"/>
  <c r="C4" i="1"/>
  <c r="D4" i="1"/>
  <c r="E4" i="1"/>
  <c r="F4" i="1"/>
  <c r="G4" i="1"/>
  <c r="H4" i="1"/>
  <c r="I4" i="1"/>
  <c r="J4" i="1"/>
  <c r="A5" i="1"/>
  <c r="B5" i="1"/>
  <c r="C5" i="1"/>
  <c r="D5" i="1"/>
  <c r="E5" i="1"/>
  <c r="F5" i="1"/>
  <c r="G5" i="1"/>
  <c r="H5" i="1"/>
  <c r="I5" i="1"/>
  <c r="J5" i="1"/>
  <c r="A6" i="1"/>
  <c r="B6" i="1"/>
  <c r="C6" i="1"/>
  <c r="D6" i="1"/>
  <c r="E6" i="1"/>
  <c r="F6" i="1"/>
  <c r="G6" i="1"/>
  <c r="H6" i="1"/>
  <c r="I6" i="1"/>
  <c r="J6" i="1"/>
  <c r="I1" i="1"/>
  <c r="J1" i="1"/>
  <c r="B1" i="1"/>
  <c r="C1" i="1"/>
  <c r="D1" i="1"/>
  <c r="E1" i="1"/>
  <c r="F1" i="1"/>
  <c r="G1" i="1"/>
  <c r="H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G17" sqref="G17"/>
    </sheetView>
  </sheetViews>
  <sheetFormatPr defaultRowHeight="13.8" x14ac:dyDescent="0.25"/>
  <sheetData>
    <row r="1" spans="1:10" x14ac:dyDescent="0.25">
      <c r="A1">
        <f ca="1">RANDBETWEEN(60,120)</f>
        <v>105</v>
      </c>
      <c r="B1">
        <f t="shared" ref="B1:J6" ca="1" si="0">RANDBETWEEN(60,120)</f>
        <v>63</v>
      </c>
      <c r="C1">
        <f t="shared" ca="1" si="0"/>
        <v>66</v>
      </c>
      <c r="D1">
        <f t="shared" ca="1" si="0"/>
        <v>98</v>
      </c>
      <c r="E1">
        <f t="shared" ca="1" si="0"/>
        <v>86</v>
      </c>
      <c r="F1">
        <f t="shared" ca="1" si="0"/>
        <v>120</v>
      </c>
      <c r="G1">
        <f t="shared" ca="1" si="0"/>
        <v>107</v>
      </c>
      <c r="H1">
        <f t="shared" ca="1" si="0"/>
        <v>109</v>
      </c>
      <c r="I1">
        <f ca="1">RANDBETWEEN(60,120)</f>
        <v>120</v>
      </c>
      <c r="J1">
        <f t="shared" ca="1" si="0"/>
        <v>114</v>
      </c>
    </row>
    <row r="2" spans="1:10" x14ac:dyDescent="0.25">
      <c r="A2">
        <f t="shared" ref="A2:A6" ca="1" si="1">RANDBETWEEN(60,120)</f>
        <v>71</v>
      </c>
      <c r="B2">
        <f t="shared" ca="1" si="0"/>
        <v>103</v>
      </c>
      <c r="C2">
        <f t="shared" ca="1" si="0"/>
        <v>81</v>
      </c>
      <c r="D2">
        <f t="shared" ca="1" si="0"/>
        <v>103</v>
      </c>
      <c r="E2">
        <f t="shared" ca="1" si="0"/>
        <v>100</v>
      </c>
      <c r="F2">
        <f t="shared" ca="1" si="0"/>
        <v>85</v>
      </c>
      <c r="G2">
        <f t="shared" ca="1" si="0"/>
        <v>73</v>
      </c>
      <c r="H2">
        <f t="shared" ca="1" si="0"/>
        <v>98</v>
      </c>
      <c r="I2">
        <f t="shared" ca="1" si="0"/>
        <v>98</v>
      </c>
      <c r="J2">
        <f t="shared" ca="1" si="0"/>
        <v>93</v>
      </c>
    </row>
    <row r="3" spans="1:10" x14ac:dyDescent="0.25">
      <c r="A3">
        <f t="shared" ca="1" si="1"/>
        <v>63</v>
      </c>
      <c r="B3">
        <f t="shared" ca="1" si="0"/>
        <v>110</v>
      </c>
      <c r="C3">
        <f t="shared" ca="1" si="0"/>
        <v>106</v>
      </c>
      <c r="D3">
        <f t="shared" ca="1" si="0"/>
        <v>81</v>
      </c>
      <c r="E3">
        <f t="shared" ca="1" si="0"/>
        <v>90</v>
      </c>
      <c r="F3">
        <f t="shared" ca="1" si="0"/>
        <v>65</v>
      </c>
      <c r="G3">
        <f t="shared" ca="1" si="0"/>
        <v>69</v>
      </c>
      <c r="H3">
        <f t="shared" ca="1" si="0"/>
        <v>86</v>
      </c>
      <c r="I3">
        <f t="shared" ca="1" si="0"/>
        <v>80</v>
      </c>
      <c r="J3">
        <f t="shared" ca="1" si="0"/>
        <v>82</v>
      </c>
    </row>
    <row r="4" spans="1:10" x14ac:dyDescent="0.25">
      <c r="A4">
        <f t="shared" ca="1" si="1"/>
        <v>65</v>
      </c>
      <c r="B4">
        <f t="shared" ca="1" si="0"/>
        <v>111</v>
      </c>
      <c r="C4">
        <f t="shared" ca="1" si="0"/>
        <v>99</v>
      </c>
      <c r="D4">
        <f t="shared" ca="1" si="0"/>
        <v>109</v>
      </c>
      <c r="E4">
        <f t="shared" ca="1" si="0"/>
        <v>86</v>
      </c>
      <c r="F4">
        <f t="shared" ca="1" si="0"/>
        <v>84</v>
      </c>
      <c r="G4">
        <f t="shared" ca="1" si="0"/>
        <v>115</v>
      </c>
      <c r="H4">
        <f t="shared" ca="1" si="0"/>
        <v>64</v>
      </c>
      <c r="I4">
        <f t="shared" ca="1" si="0"/>
        <v>67</v>
      </c>
      <c r="J4">
        <f t="shared" ca="1" si="0"/>
        <v>81</v>
      </c>
    </row>
    <row r="5" spans="1:10" x14ac:dyDescent="0.25">
      <c r="A5">
        <f t="shared" ca="1" si="1"/>
        <v>65</v>
      </c>
      <c r="B5">
        <f t="shared" ca="1" si="0"/>
        <v>76</v>
      </c>
      <c r="C5">
        <f t="shared" ca="1" si="0"/>
        <v>111</v>
      </c>
      <c r="D5">
        <f t="shared" ca="1" si="0"/>
        <v>111</v>
      </c>
      <c r="E5">
        <f t="shared" ca="1" si="0"/>
        <v>101</v>
      </c>
      <c r="F5">
        <f t="shared" ca="1" si="0"/>
        <v>73</v>
      </c>
      <c r="G5">
        <f t="shared" ca="1" si="0"/>
        <v>87</v>
      </c>
      <c r="H5">
        <f t="shared" ca="1" si="0"/>
        <v>63</v>
      </c>
      <c r="I5">
        <f t="shared" ca="1" si="0"/>
        <v>110</v>
      </c>
      <c r="J5">
        <f t="shared" ca="1" si="0"/>
        <v>97</v>
      </c>
    </row>
    <row r="6" spans="1:10" x14ac:dyDescent="0.25">
      <c r="A6">
        <f t="shared" ca="1" si="1"/>
        <v>99</v>
      </c>
      <c r="B6">
        <f t="shared" ca="1" si="0"/>
        <v>82</v>
      </c>
      <c r="C6">
        <f t="shared" ca="1" si="0"/>
        <v>70</v>
      </c>
      <c r="D6">
        <f t="shared" ca="1" si="0"/>
        <v>90</v>
      </c>
      <c r="E6">
        <f t="shared" ca="1" si="0"/>
        <v>106</v>
      </c>
      <c r="F6">
        <f t="shared" ca="1" si="0"/>
        <v>66</v>
      </c>
      <c r="G6">
        <f t="shared" ca="1" si="0"/>
        <v>98</v>
      </c>
      <c r="H6">
        <f t="shared" ca="1" si="0"/>
        <v>96</v>
      </c>
      <c r="I6">
        <f t="shared" ca="1" si="0"/>
        <v>92</v>
      </c>
      <c r="J6">
        <f t="shared" ca="1" si="0"/>
        <v>109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193CD-8AD0-4704-84F5-42CE168308C4}">
  <dimension ref="A1:U2"/>
  <sheetViews>
    <sheetView workbookViewId="0">
      <selection activeCell="D23" sqref="D23"/>
    </sheetView>
  </sheetViews>
  <sheetFormatPr defaultRowHeight="13.8" x14ac:dyDescent="0.25"/>
  <cols>
    <col min="1" max="1" width="9.109375" bestFit="1" customWidth="1"/>
  </cols>
  <sheetData>
    <row r="1" spans="1:21" s="1" customFormat="1" x14ac:dyDescent="0.25">
      <c r="A1" s="1">
        <v>0.86</v>
      </c>
      <c r="B1" s="1">
        <v>0.35</v>
      </c>
      <c r="C1" s="1">
        <v>0.1481443293618202</v>
      </c>
      <c r="D1" s="1">
        <v>0.87172503033235649</v>
      </c>
      <c r="E1" s="1">
        <v>0.75</v>
      </c>
      <c r="F1" s="1">
        <v>0.82</v>
      </c>
      <c r="G1" s="1">
        <v>0.65293527537742801</v>
      </c>
      <c r="H1" s="1">
        <v>0.71047120420335075</v>
      </c>
      <c r="I1" s="1">
        <v>0.44326289496947879</v>
      </c>
      <c r="J1" s="1">
        <v>0.68</v>
      </c>
      <c r="K1" s="1">
        <v>0.53784876410283899</v>
      </c>
      <c r="L1" s="1">
        <v>0.47767637350785452</v>
      </c>
      <c r="M1" s="1">
        <v>0.20023781794180673</v>
      </c>
      <c r="N1" s="1">
        <v>0.35</v>
      </c>
      <c r="O1" s="1">
        <v>0.59270979671130075</v>
      </c>
      <c r="P1" s="1">
        <v>0.70021965683521969</v>
      </c>
      <c r="Q1" s="1">
        <v>0.31648637167429206</v>
      </c>
      <c r="R1" s="1">
        <v>0.37</v>
      </c>
      <c r="S1" s="1">
        <v>0.32055610179498395</v>
      </c>
      <c r="T1" s="1">
        <v>0.80528335266068185</v>
      </c>
      <c r="U1" s="1">
        <f>SUM(A1:T1)</f>
        <v>10.957556969473414</v>
      </c>
    </row>
    <row r="2" spans="1:21" x14ac:dyDescent="0.25">
      <c r="A2" s="1">
        <f>A1/$U$1</f>
        <v>7.8484647845853628E-2</v>
      </c>
      <c r="B2" s="1">
        <f t="shared" ref="B2:T2" si="0">B1/$U$1</f>
        <v>3.1941426448893917E-2</v>
      </c>
      <c r="C2" s="1">
        <f t="shared" si="0"/>
        <v>1.3519832000375131E-2</v>
      </c>
      <c r="D2" s="1">
        <f t="shared" si="0"/>
        <v>7.9554688400059387E-2</v>
      </c>
      <c r="E2" s="1">
        <f t="shared" si="0"/>
        <v>6.8445913819058402E-2</v>
      </c>
      <c r="F2" s="1">
        <f t="shared" si="0"/>
        <v>7.4834199108837179E-2</v>
      </c>
      <c r="G2" s="1">
        <f t="shared" si="0"/>
        <v>5.9587668783875468E-2</v>
      </c>
      <c r="H2" s="1">
        <f t="shared" si="0"/>
        <v>6.4838467751766909E-2</v>
      </c>
      <c r="I2" s="1">
        <f t="shared" si="0"/>
        <v>4.0452711877689708E-2</v>
      </c>
      <c r="J2" s="1">
        <f t="shared" si="0"/>
        <v>6.2057628529279617E-2</v>
      </c>
      <c r="K2" s="1">
        <f t="shared" si="0"/>
        <v>4.9084733540626653E-2</v>
      </c>
      <c r="L2" s="1">
        <f t="shared" si="0"/>
        <v>4.3593327859358613E-2</v>
      </c>
      <c r="M2" s="1">
        <f t="shared" si="0"/>
        <v>1.8273947240214944E-2</v>
      </c>
      <c r="N2" s="1">
        <f t="shared" si="0"/>
        <v>3.1941426448893917E-2</v>
      </c>
      <c r="O2" s="1">
        <f t="shared" si="0"/>
        <v>5.4091418220551087E-2</v>
      </c>
      <c r="P2" s="1">
        <f t="shared" si="0"/>
        <v>6.3902899048205453E-2</v>
      </c>
      <c r="Q2" s="1">
        <f t="shared" si="0"/>
        <v>2.8882931894033438E-2</v>
      </c>
      <c r="R2" s="1">
        <f t="shared" si="0"/>
        <v>3.3766650817402141E-2</v>
      </c>
      <c r="S2" s="1">
        <f t="shared" si="0"/>
        <v>2.9254340423510376E-2</v>
      </c>
      <c r="T2" s="1">
        <f t="shared" si="0"/>
        <v>7.3491139941513919E-2</v>
      </c>
      <c r="U2">
        <f>SUM(A2:T2)</f>
        <v>1.0000000000000002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9E8F-65BB-4C51-AE47-0C46BB5B5FDB}">
  <dimension ref="A1:T2"/>
  <sheetViews>
    <sheetView tabSelected="1" workbookViewId="0">
      <selection activeCell="O20" sqref="O20"/>
    </sheetView>
  </sheetViews>
  <sheetFormatPr defaultRowHeight="13.8" x14ac:dyDescent="0.25"/>
  <cols>
    <col min="1" max="1" width="9.109375" bestFit="1" customWidth="1"/>
  </cols>
  <sheetData>
    <row r="1" spans="1:20" x14ac:dyDescent="0.25">
      <c r="A1" s="1">
        <v>0.79</v>
      </c>
      <c r="B1" s="1">
        <v>0.85</v>
      </c>
      <c r="C1" s="1">
        <v>0.6772508784712763</v>
      </c>
      <c r="D1" s="1">
        <v>0.87147696644693506</v>
      </c>
      <c r="E1" s="1">
        <v>0.85</v>
      </c>
      <c r="F1" s="1">
        <v>0.77</v>
      </c>
      <c r="G1" s="1">
        <v>0.76</v>
      </c>
      <c r="H1" s="1">
        <v>0.95</v>
      </c>
      <c r="I1" s="1">
        <v>0.83893966645355678</v>
      </c>
      <c r="J1" s="1">
        <v>0.79</v>
      </c>
      <c r="K1" s="1">
        <v>0.75</v>
      </c>
      <c r="L1" s="1">
        <v>0.74</v>
      </c>
      <c r="M1" s="1">
        <v>0.67</v>
      </c>
      <c r="N1" s="1">
        <v>0.90892666897386853</v>
      </c>
      <c r="O1" s="1">
        <v>0.93556045720785341</v>
      </c>
      <c r="P1" s="1">
        <v>0.85</v>
      </c>
      <c r="Q1" s="1">
        <v>0.85841396295739092</v>
      </c>
      <c r="R1" s="1">
        <v>0.84</v>
      </c>
      <c r="S1" s="1">
        <v>0.7</v>
      </c>
      <c r="T1" s="1">
        <v>0.88140304028462158</v>
      </c>
    </row>
    <row r="2" spans="1:20" x14ac:dyDescent="0.25">
      <c r="A2" s="1">
        <v>0.75</v>
      </c>
      <c r="B2" s="1">
        <v>0.77</v>
      </c>
      <c r="C2" s="1">
        <v>0.65094205461700572</v>
      </c>
      <c r="D2" s="1">
        <v>0.81438945335614765</v>
      </c>
      <c r="E2" s="1">
        <v>0.75</v>
      </c>
      <c r="F2" s="1">
        <v>0.8</v>
      </c>
      <c r="G2" s="1">
        <v>0.75</v>
      </c>
      <c r="H2" s="1">
        <v>0.78</v>
      </c>
      <c r="I2" s="1">
        <v>0.77</v>
      </c>
      <c r="J2" s="1">
        <v>0.69</v>
      </c>
      <c r="K2" s="1">
        <v>0.8</v>
      </c>
      <c r="L2" s="1">
        <v>0.82</v>
      </c>
      <c r="M2" s="1">
        <v>0.76</v>
      </c>
      <c r="N2" s="1">
        <v>0.77</v>
      </c>
      <c r="O2" s="1">
        <v>0.78</v>
      </c>
      <c r="P2" s="1">
        <v>0.87856937207514474</v>
      </c>
      <c r="Q2" s="1">
        <v>0.76</v>
      </c>
      <c r="R2" s="1">
        <v>0.78</v>
      </c>
      <c r="S2" s="1">
        <v>0.77</v>
      </c>
      <c r="T2" s="1">
        <v>0.76145002207283807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BEE2-3E9D-48C8-B1E4-E6FBA93E0D0A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项目投资额度</vt:lpstr>
      <vt:lpstr>能力权重</vt:lpstr>
      <vt:lpstr>与合作者间关系</vt:lpstr>
      <vt:lpstr>项目所需要的最小支撑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Zhangxu</dc:creator>
  <cp:lastModifiedBy>旭 张</cp:lastModifiedBy>
  <dcterms:created xsi:type="dcterms:W3CDTF">2015-06-05T18:19:34Z</dcterms:created>
  <dcterms:modified xsi:type="dcterms:W3CDTF">2024-03-26T12:39:03Z</dcterms:modified>
</cp:coreProperties>
</file>